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r\5_semester\Data_Analysis_&amp;_Visualization\Lab_2\"/>
    </mc:Choice>
  </mc:AlternateContent>
  <xr:revisionPtr revIDLastSave="0" documentId="8_{18C70407-2626-425D-8939-96A32B9BEC16}" xr6:coauthVersionLast="47" xr6:coauthVersionMax="47" xr10:uidLastSave="{00000000-0000-0000-0000-000000000000}"/>
  <bookViews>
    <workbookView xWindow="-108" yWindow="-108" windowWidth="23256" windowHeight="12456" xr2:uid="{3C616A5E-A5CF-4E93-8984-5887E6D8E708}"/>
  </bookViews>
  <sheets>
    <sheet name="Sensitivity Report 1" sheetId="2" r:id="rId1"/>
    <sheet name="Sheet1" sheetId="1" r:id="rId2"/>
  </sheets>
  <definedNames>
    <definedName name="solver_adj" localSheetId="1" hidden="1">Sheet1!$B$2:$E$2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Sheet1!$F$7:$F$11</definedName>
    <definedName name="solver_lhs2" localSheetId="1" hidden="1">Sheet1!$F$11</definedName>
    <definedName name="solver_lhs3" localSheetId="1" hidden="1">Sheet1!$F$7</definedName>
    <definedName name="solver_lhs4" localSheetId="1" hidden="1">Sheet1!$F$8</definedName>
    <definedName name="solver_lhs5" localSheetId="1" hidden="1">Sheet1!$F$9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Sheet1!$B$4</definedName>
    <definedName name="solver_pre" localSheetId="1" hidden="1">0.000001</definedName>
    <definedName name="solver_rbv" localSheetId="1" hidden="1">2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hs1" localSheetId="1" hidden="1">Sheet1!$G$7:$G$11</definedName>
    <definedName name="solver_rhs2" localSheetId="1" hidden="1">Sheet1!$G$11</definedName>
    <definedName name="solver_rhs3" localSheetId="1" hidden="1">Sheet1!$G$7</definedName>
    <definedName name="solver_rhs4" localSheetId="1" hidden="1">Sheet1!$G$8</definedName>
    <definedName name="solver_rhs5" localSheetId="1" hidden="1">Sheet1!$G$9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F8" i="1"/>
  <c r="F9" i="1"/>
  <c r="F10" i="1"/>
  <c r="F11" i="1"/>
  <c r="F7" i="1"/>
</calcChain>
</file>

<file path=xl/sharedStrings.xml><?xml version="1.0" encoding="utf-8"?>
<sst xmlns="http://schemas.openxmlformats.org/spreadsheetml/2006/main" count="66" uniqueCount="54">
  <si>
    <t>Крісло</t>
  </si>
  <si>
    <t>Стілець</t>
  </si>
  <si>
    <t>Табурет</t>
  </si>
  <si>
    <t>Лава</t>
  </si>
  <si>
    <t>Прибуток з од.</t>
  </si>
  <si>
    <t>Загальний прибуток</t>
  </si>
  <si>
    <t>Ресурс/Виріб</t>
  </si>
  <si>
    <t>Дубовий брус</t>
  </si>
  <si>
    <t>Фанера</t>
  </si>
  <si>
    <t>Фурнітура</t>
  </si>
  <si>
    <t>Верстат</t>
  </si>
  <si>
    <t>Лакування</t>
  </si>
  <si>
    <t xml:space="preserve"> Табурет</t>
  </si>
  <si>
    <t>Витрачено</t>
  </si>
  <si>
    <t>План випуску</t>
  </si>
  <si>
    <t>Запас</t>
  </si>
  <si>
    <t>Microsoft Excel 16.0 Sensitivity Report</t>
  </si>
  <si>
    <t>Worksheet: [Book1]Sheet1</t>
  </si>
  <si>
    <t>Report Created: 10/5/2026 5:05:11 PM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</si>
  <si>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</si>
  <si>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</si>
  <si>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</si>
  <si>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</si>
  <si>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</si>
  <si>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</si>
  <si>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</si>
  <si>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</si>
  <si>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</si>
  <si>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</si>
  <si>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</si>
  <si>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</si>
  <si>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</si>
  <si>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</si>
  <si>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</si>
  <si>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</si>
  <si>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</si>
  <si>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$B$2</t>
  </si>
  <si>
    <t>План випуску Крісло</t>
  </si>
  <si>
    <t>$C$2</t>
  </si>
  <si>
    <t>План випуску Стілець</t>
  </si>
  <si>
    <t>$D$2</t>
  </si>
  <si>
    <t>План випуску Табурет</t>
  </si>
  <si>
    <t>$E$2</t>
  </si>
  <si>
    <t>План випуску Лава</t>
  </si>
  <si>
    <t>$F$7</t>
  </si>
  <si>
    <t>Дубовий брус Витрачено</t>
  </si>
  <si>
    <t>$F$8</t>
  </si>
  <si>
    <t>Фанера Витрачено</t>
  </si>
  <si>
    <t>$F$9</t>
  </si>
  <si>
    <t>Фурнітура Витрачено</t>
  </si>
  <si>
    <t>$F$10</t>
  </si>
  <si>
    <t>Верстат Витрачено</t>
  </si>
  <si>
    <t>$F$11</t>
  </si>
  <si>
    <t>Лакування Витрачено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</si>
</sst>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1" fontId="0" fillId="0" borderId="3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53AB-1C85-4E46-A318-8EC735FCB78C}">
  <dimension ref="A1:H21"/>
  <sheetViews>
    <sheetView showGridLines="0" tabSelected="1" workbookViewId="0">
      <selection activeCell="C17" sqref="C17"/>
    </sheetView>
  </sheetViews>
  <sheetFormatPr defaultRowHeight="14.4" x14ac:dyDescent="0.3"/>
  <cols>
    <col min="1" max="1" width="2.33203125" customWidth="1"/>
    <col min="2" max="2" width="5.88671875" bestFit="1" customWidth="1"/>
    <col min="3" max="3" width="22.88671875" bestFit="1" customWidth="1"/>
    <col min="4" max="4" width="12" bestFit="1" customWidth="1"/>
    <col min="5" max="5" width="12.6640625" bestFit="1" customWidth="1"/>
    <col min="6" max="6" width="10.109375" bestFit="1" customWidth="1"/>
    <col min="7" max="8" width="12" bestFit="1" customWidth="1"/>
  </cols>
  <sheetData>
    <row r="1" spans="1:8" x14ac:dyDescent="0.3">
      <c r="A1" s="1" t="s">
        <v>16</v>
      </c>
    </row>
    <row r="2" spans="1:8" x14ac:dyDescent="0.3">
      <c r="A2" s="1" t="s">
        <v>17</v>
      </c>
    </row>
    <row r="3" spans="1:8" x14ac:dyDescent="0.3">
      <c r="A3" s="1" t="s">
        <v>18</v>
      </c>
    </row>
    <row r="6" spans="1:8" ht="15" thickBot="1" x14ac:dyDescent="0.35">
      <c r="A6" t="s">
        <v>19</v>
      </c>
    </row>
    <row r="7" spans="1:8" x14ac:dyDescent="0.3">
      <c r="B7" s="4"/>
      <c r="C7" s="4"/>
      <c r="D7" s="4" t="s">
        <v>22</v>
      </c>
      <c r="E7" s="4" t="s">
        <v>24</v>
      </c>
      <c r="F7" s="4" t="s">
        <v>26</v>
      </c>
      <c r="G7" s="4" t="s">
        <v>28</v>
      </c>
      <c r="H7" s="4" t="s">
        <v>28</v>
      </c>
    </row>
    <row r="8" spans="1:8" ht="15" thickBot="1" x14ac:dyDescent="0.35">
      <c r="B8" s="5" t="s">
        <v>20</v>
      </c>
      <c r="C8" s="5" t="s">
        <v>21</v>
      </c>
      <c r="D8" s="5" t="s">
        <v>23</v>
      </c>
      <c r="E8" s="5" t="s">
        <v>25</v>
      </c>
      <c r="F8" s="5" t="s">
        <v>27</v>
      </c>
      <c r="G8" s="5" t="s">
        <v>29</v>
      </c>
      <c r="H8" s="5" t="s">
        <v>30</v>
      </c>
    </row>
    <row r="9" spans="1:8" x14ac:dyDescent="0.3">
      <c r="B9" s="2" t="s">
        <v>36</v>
      </c>
      <c r="C9" s="2" t="s">
        <v>37</v>
      </c>
      <c r="D9" s="2">
        <v>120.071428571429</v>
      </c>
      <c r="E9" s="2">
        <v>0</v>
      </c>
      <c r="F9" s="2">
        <v>64</v>
      </c>
      <c r="G9" s="2">
        <v>251</v>
      </c>
      <c r="H9" s="2">
        <v>31.153846153846199</v>
      </c>
    </row>
    <row r="10" spans="1:8" x14ac:dyDescent="0.3">
      <c r="B10" s="2" t="s">
        <v>38</v>
      </c>
      <c r="C10" s="2" t="s">
        <v>39</v>
      </c>
      <c r="D10" s="2">
        <v>0</v>
      </c>
      <c r="E10" s="2">
        <v>-14.464285714285699</v>
      </c>
      <c r="F10" s="2">
        <v>58</v>
      </c>
      <c r="G10" s="2">
        <v>14.464285714285699</v>
      </c>
      <c r="H10" s="6">
        <v>1E+30</v>
      </c>
    </row>
    <row r="11" spans="1:8" x14ac:dyDescent="0.3">
      <c r="B11" s="2" t="s">
        <v>40</v>
      </c>
      <c r="C11" s="2" t="s">
        <v>41</v>
      </c>
      <c r="D11" s="2">
        <v>0</v>
      </c>
      <c r="E11" s="2">
        <v>-47.428571428571402</v>
      </c>
      <c r="F11" s="2">
        <v>34</v>
      </c>
      <c r="G11" s="2">
        <v>47.428571428571402</v>
      </c>
      <c r="H11" s="2">
        <v>1E+30</v>
      </c>
    </row>
    <row r="12" spans="1:8" ht="15" thickBot="1" x14ac:dyDescent="0.35">
      <c r="B12" s="3" t="s">
        <v>42</v>
      </c>
      <c r="C12" s="3" t="s">
        <v>43</v>
      </c>
      <c r="D12" s="3">
        <v>12.6428571428571</v>
      </c>
      <c r="E12" s="3">
        <v>0</v>
      </c>
      <c r="F12" s="3">
        <v>63</v>
      </c>
      <c r="G12" s="3">
        <v>129</v>
      </c>
      <c r="H12" s="3">
        <v>21.315789473684202</v>
      </c>
    </row>
    <row r="14" spans="1:8" ht="15" thickBot="1" x14ac:dyDescent="0.35">
      <c r="A14" t="s">
        <v>31</v>
      </c>
    </row>
    <row r="15" spans="1:8" x14ac:dyDescent="0.3">
      <c r="B15" s="4"/>
      <c r="C15" s="4"/>
      <c r="D15" s="4" t="s">
        <v>22</v>
      </c>
      <c r="E15" s="4" t="s">
        <v>32</v>
      </c>
      <c r="F15" s="4" t="s">
        <v>34</v>
      </c>
      <c r="G15" s="4" t="s">
        <v>28</v>
      </c>
      <c r="H15" s="4" t="s">
        <v>28</v>
      </c>
    </row>
    <row r="16" spans="1:8" ht="15" thickBot="1" x14ac:dyDescent="0.35">
      <c r="B16" s="5" t="s">
        <v>20</v>
      </c>
      <c r="C16" s="5" t="s">
        <v>21</v>
      </c>
      <c r="D16" s="5" t="s">
        <v>23</v>
      </c>
      <c r="E16" s="5" t="s">
        <v>33</v>
      </c>
      <c r="F16" s="5" t="s">
        <v>35</v>
      </c>
      <c r="G16" s="5" t="s">
        <v>29</v>
      </c>
      <c r="H16" s="5" t="s">
        <v>30</v>
      </c>
    </row>
    <row r="17" spans="2:8" x14ac:dyDescent="0.3">
      <c r="B17" s="2" t="s">
        <v>44</v>
      </c>
      <c r="C17" s="2" t="s">
        <v>45</v>
      </c>
      <c r="D17" s="2">
        <v>613</v>
      </c>
      <c r="E17" s="2">
        <v>9.2142857142857206</v>
      </c>
      <c r="F17" s="2">
        <v>613</v>
      </c>
      <c r="G17" s="2">
        <v>176.99999999999994</v>
      </c>
      <c r="H17" s="2">
        <v>560.33333333333303</v>
      </c>
    </row>
    <row r="18" spans="2:8" x14ac:dyDescent="0.3">
      <c r="B18" s="2" t="s">
        <v>46</v>
      </c>
      <c r="C18" s="2" t="s">
        <v>47</v>
      </c>
      <c r="D18" s="2">
        <v>316</v>
      </c>
      <c r="E18" s="2">
        <v>8.9642857142857206</v>
      </c>
      <c r="F18" s="2">
        <v>316</v>
      </c>
      <c r="G18" s="2">
        <v>494</v>
      </c>
      <c r="H18" s="2">
        <v>70.8</v>
      </c>
    </row>
    <row r="19" spans="2:8" x14ac:dyDescent="0.3">
      <c r="B19" s="2" t="s">
        <v>48</v>
      </c>
      <c r="C19" s="2" t="s">
        <v>49</v>
      </c>
      <c r="D19" s="2">
        <v>360.21428571428601</v>
      </c>
      <c r="E19" s="2">
        <v>0</v>
      </c>
      <c r="F19" s="2">
        <v>1035</v>
      </c>
      <c r="G19" s="6">
        <v>1E+30</v>
      </c>
      <c r="H19" s="2">
        <v>674.78571428571399</v>
      </c>
    </row>
    <row r="20" spans="2:8" x14ac:dyDescent="0.3">
      <c r="B20" s="2" t="s">
        <v>50</v>
      </c>
      <c r="C20" s="2" t="s">
        <v>51</v>
      </c>
      <c r="D20" s="2">
        <v>75.857142857142804</v>
      </c>
      <c r="E20" s="2">
        <v>0</v>
      </c>
      <c r="F20" s="2">
        <v>739</v>
      </c>
      <c r="G20" s="2">
        <v>1E+30</v>
      </c>
      <c r="H20" s="2">
        <v>663.142857142857</v>
      </c>
    </row>
    <row r="21" spans="2:8" ht="15" thickBot="1" x14ac:dyDescent="0.35">
      <c r="B21" s="3" t="s">
        <v>52</v>
      </c>
      <c r="C21" s="3" t="s">
        <v>53</v>
      </c>
      <c r="D21" s="3">
        <v>316</v>
      </c>
      <c r="E21" s="3">
        <v>0</v>
      </c>
      <c r="F21" s="3">
        <v>810</v>
      </c>
      <c r="G21" s="3">
        <v>1E+30</v>
      </c>
      <c r="H21" s="3">
        <v>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8415-3FA3-4BF8-8E96-D88588BBB4B1}">
  <dimension ref="A1:G11"/>
  <sheetViews>
    <sheetView workbookViewId="0">
      <selection activeCell="B5" sqref="B5"/>
    </sheetView>
  </sheetViews>
  <sheetFormatPr defaultRowHeight="14.4" x14ac:dyDescent="0.3"/>
  <cols>
    <col min="1" max="1" width="19.6640625" customWidth="1"/>
    <col min="6" max="6" width="11.6640625" customWidth="1"/>
  </cols>
  <sheetData>
    <row r="1" spans="1:7" x14ac:dyDescent="0.3">
      <c r="B1" t="s">
        <v>0</v>
      </c>
      <c r="C1" t="s">
        <v>1</v>
      </c>
      <c r="D1" t="s">
        <v>2</v>
      </c>
      <c r="E1" t="s">
        <v>3</v>
      </c>
    </row>
    <row r="2" spans="1:7" x14ac:dyDescent="0.3">
      <c r="A2" t="s">
        <v>14</v>
      </c>
      <c r="B2">
        <v>120.07142857142858</v>
      </c>
      <c r="C2">
        <v>0</v>
      </c>
      <c r="D2">
        <v>0</v>
      </c>
      <c r="E2">
        <v>12.642857142857141</v>
      </c>
    </row>
    <row r="3" spans="1:7" x14ac:dyDescent="0.3">
      <c r="A3" t="s">
        <v>4</v>
      </c>
      <c r="B3">
        <v>64</v>
      </c>
      <c r="C3">
        <v>58</v>
      </c>
      <c r="D3">
        <v>34</v>
      </c>
      <c r="E3">
        <v>63</v>
      </c>
    </row>
    <row r="4" spans="1:7" x14ac:dyDescent="0.3">
      <c r="A4" s="1" t="s">
        <v>5</v>
      </c>
      <c r="B4">
        <f>SUM(B2*B3, C2*C3, D2*D3, E2*E3)</f>
        <v>8481.0714285714294</v>
      </c>
    </row>
    <row r="6" spans="1:7" x14ac:dyDescent="0.3">
      <c r="A6" s="1" t="s">
        <v>6</v>
      </c>
      <c r="B6" t="s">
        <v>0</v>
      </c>
      <c r="C6" t="s">
        <v>1</v>
      </c>
      <c r="D6" t="s">
        <v>12</v>
      </c>
      <c r="E6" t="s">
        <v>3</v>
      </c>
      <c r="F6" s="1" t="s">
        <v>13</v>
      </c>
      <c r="G6" s="1" t="s">
        <v>15</v>
      </c>
    </row>
    <row r="7" spans="1:7" x14ac:dyDescent="0.3">
      <c r="A7" t="s">
        <v>7</v>
      </c>
      <c r="B7">
        <v>5</v>
      </c>
      <c r="C7">
        <v>3</v>
      </c>
      <c r="D7">
        <v>3</v>
      </c>
      <c r="E7">
        <v>1</v>
      </c>
      <c r="F7">
        <f>SUM(B7*B$2,C7*C$2,D7*D$2,E7*E$2)</f>
        <v>613</v>
      </c>
      <c r="G7">
        <v>613</v>
      </c>
    </row>
    <row r="8" spans="1:7" x14ac:dyDescent="0.3">
      <c r="A8" t="s">
        <v>8</v>
      </c>
      <c r="B8">
        <v>2</v>
      </c>
      <c r="C8">
        <v>5</v>
      </c>
      <c r="D8">
        <v>6</v>
      </c>
      <c r="E8">
        <v>6</v>
      </c>
      <c r="F8">
        <f t="shared" ref="F8:F11" si="0">SUM(B8*B$2,C8*C$2,D8*D$2,E8*E$2)</f>
        <v>316</v>
      </c>
      <c r="G8">
        <v>316</v>
      </c>
    </row>
    <row r="9" spans="1:7" x14ac:dyDescent="0.3">
      <c r="A9" t="s">
        <v>9</v>
      </c>
      <c r="B9">
        <v>3</v>
      </c>
      <c r="C9">
        <v>1</v>
      </c>
      <c r="D9">
        <v>0</v>
      </c>
      <c r="E9">
        <v>0</v>
      </c>
      <c r="F9">
        <f t="shared" si="0"/>
        <v>360.21428571428578</v>
      </c>
      <c r="G9">
        <v>1035</v>
      </c>
    </row>
    <row r="10" spans="1:7" x14ac:dyDescent="0.3">
      <c r="A10" t="s">
        <v>10</v>
      </c>
      <c r="B10">
        <v>0</v>
      </c>
      <c r="C10">
        <v>4</v>
      </c>
      <c r="D10">
        <v>4</v>
      </c>
      <c r="E10">
        <v>6</v>
      </c>
      <c r="F10">
        <f t="shared" si="0"/>
        <v>75.857142857142847</v>
      </c>
      <c r="G10">
        <v>739</v>
      </c>
    </row>
    <row r="11" spans="1:7" x14ac:dyDescent="0.3">
      <c r="A11" t="s">
        <v>11</v>
      </c>
      <c r="B11">
        <v>2</v>
      </c>
      <c r="C11">
        <v>2</v>
      </c>
      <c r="D11">
        <v>2</v>
      </c>
      <c r="E11">
        <v>6</v>
      </c>
      <c r="F11">
        <f t="shared" si="0"/>
        <v>316</v>
      </c>
      <c r="G11">
        <v>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Yaryna Panychevska</dc:creator>
  <cp:lastModifiedBy>Yaryna Panychevska</cp:lastModifiedBy>
  <dcterms:created xsi:type="dcterms:W3CDTF">2026-10-05T13:18:44Z</dcterms:created>
  <dcterms:modified xsi:type="dcterms:W3CDTF">2026-10-05T18:07:02Z</dcterms:modified>
</cp:coreProperties>
</file>